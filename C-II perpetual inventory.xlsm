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B5FF380F-8ADE-1942-A6F0-7F5D8B3C63AE}" xr6:coauthVersionLast="47" xr6:coauthVersionMax="47" xr10:uidLastSave="{00000000-0000-0000-0000-000000000000}"/>
  <bookViews>
    <workbookView xWindow="32200" yWindow="500" windowWidth="34800" windowHeight="27180" activeTab="1" xr2:uid="{42AEBCAD-F86D-4640-A911-0C2BF7BA7661}"/>
  </bookViews>
  <sheets>
    <sheet name="Macro1" sheetId="2" state="hidden" r:id="rId1"/>
    <sheet name="Home" sheetId="1" r:id="rId2"/>
    <sheet name="Template" sheetId="3" r:id="rId3"/>
    <sheet name="Example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3" l="1"/>
  <c r="A1" i="10"/>
  <c r="F20" i="10"/>
  <c r="F10" i="10"/>
  <c r="F11" i="10" s="1"/>
  <c r="F12" i="10" s="1"/>
  <c r="F13" i="10" s="1"/>
  <c r="F14" i="10" s="1"/>
  <c r="F15" i="10" s="1"/>
  <c r="F16" i="10" s="1"/>
  <c r="F17" i="10" s="1"/>
  <c r="F18" i="10" s="1"/>
  <c r="F19" i="10" s="1"/>
  <c r="F10" i="3"/>
  <c r="A1" i="3"/>
</calcChain>
</file>

<file path=xl/sharedStrings.xml><?xml version="1.0" encoding="utf-8"?>
<sst xmlns="http://schemas.openxmlformats.org/spreadsheetml/2006/main" count="51" uniqueCount="27">
  <si>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</si>
  <si>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</si>
  <si>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</si>
  <si>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</si>
  <si>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</si>
  <si>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</si>
  <si>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</si>
  <si>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</si>
  <si>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</si>
  <si>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</si>
  <si>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</si>
  <si>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</si>
  <si>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</si>
  <si>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</si>
  <si>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</si>
  <si>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</si>
  <si>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Amphetamine/Dextroamphetamine IR 20mg tab</t>
  </si>
  <si>
    <t>CDS - Early fill ok per Dr. Zusi</t>
  </si>
  <si>
    <t>24x100048</t>
  </si>
  <si>
    <t>24x100046</t>
  </si>
  <si>
    <t>Date</t>
  </si>
  <si>
    <t>⬅️ Scan barcode from stock bottle here in A1</t>
  </si>
  <si>
    <t>Future versions may have more ways to navigate, such as typing an NDC or selecting from a dropdown menu</t>
  </si>
  <si>
    <t>CDS - 2 broken tablets returned Genco inv #24601</t>
  </si>
  <si>
    <t>Drug Name:</t>
  </si>
  <si>
    <t>Version 0.6</t>
  </si>
  <si>
    <t>^111111111111^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</si>
</sst>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theme="1"/>
      <name val="Aptos Narrow"/>
      <scheme val="minor"/>
    </font>
    <font>
      <sz val="18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3" fillId="2" borderId="0" xfId="0" applyFont="1" applyFill="1" applyAlignment="1">
      <alignment horizontal="right" indent="1"/>
    </xf>
    <xf numFmtId="0" fontId="4" fillId="3" borderId="2" xfId="0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horizontal="left" vertical="center"/>
      <protection locked="0"/>
    </xf>
    <xf numFmtId="0" fontId="3" fillId="2" borderId="1" xfId="0" applyFont="1" applyFill="1" applyBorder="1" applyAlignment="1">
      <alignment horizontal="right" indent="1"/>
    </xf>
    <xf numFmtId="0" fontId="1" fillId="0" borderId="0" xfId="0" applyFont="1" applyAlignment="1" applyProtection="1">
      <alignment horizontal="right" indent="1"/>
      <protection locked="0"/>
    </xf>
    <xf numFmtId="0" fontId="3" fillId="4" borderId="1" xfId="0" applyFont="1" applyFill="1" applyBorder="1" applyAlignment="1">
      <alignment horizontal="right" indent="1"/>
    </xf>
    <xf numFmtId="164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wrapText="1" indent="1"/>
    </xf>
    <xf numFmtId="165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left" wrapText="1" indent="1"/>
      <protection locked="0"/>
    </xf>
    <xf numFmtId="0" fontId="0" fillId="0" borderId="0" xfId="0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left" vertical="center"/>
      <protection locked="0"/>
    </xf>
    <xf numFmtId="0" fontId="5" fillId="5" borderId="0" xfId="0" applyFont="1" applyFill="1" applyAlignment="1">
      <alignment horizontal="right" indent="1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numFmt numFmtId="0" formatCode="General"/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10" totalsRowShown="0" headerRowDxfId="17" dataDxfId="16">
  <autoFilter ref="A8:G1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15"/>
    <tableColumn id="2" xr3:uid="{841E639A-7E85-A54C-83AD-3B6E6E30E950}" name="Invoice #" dataDxfId="14"/>
    <tableColumn id="3" xr3:uid="{CE3A5A98-D779-FB43-971D-9A001AD88C8B}" name="Quantity (+)" dataDxfId="13"/>
    <tableColumn id="4" xr3:uid="{17695CF4-01D9-1F4E-BBC5-F71B0A9C3798}" name="Rx #" dataDxfId="12"/>
    <tableColumn id="5" xr3:uid="{59E12D81-4B89-8049-8B30-5D580ED1853C}" name="Quantity (-)" dataDxfId="11"/>
    <tableColumn id="6" xr3:uid="{B3CE64D7-0B4B-8743-916C-FB4B0B1E72CD}" name="Current Inventory" dataDxfId="10">
      <calculatedColumnFormula>IF(AND(ISBLANK(C9), ISBLANK(E9)), "", F8+C9-E9)</calculatedColumnFormula>
    </tableColumn>
    <tableColumn id="7" xr3:uid="{8390A3CC-7F22-E340-AC56-37AA23D5E5B8}" name="Initials + Any Comments" dataDxfId="9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AB48FE-DE32-C648-8DB5-9403900A0EEB}" name="InvTable9" displayName="InvTable9" ref="A8:G20" totalsRowShown="0" headerRowDxfId="8" dataDxfId="7">
  <autoFilter ref="A8:G2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EBBA179-8C1E-B642-9041-D35F2FD965D7}" name="Date" dataDxfId="6"/>
    <tableColumn id="2" xr3:uid="{FF18DF7F-7041-2E47-B75D-BF4F86875553}" name="Invoice #" dataDxfId="5"/>
    <tableColumn id="3" xr3:uid="{6AB0CCFA-F741-754D-9212-8B00DF3B25F7}" name="Quantity (+)" dataDxfId="4"/>
    <tableColumn id="4" xr3:uid="{274E5006-2235-2F41-BB17-2A35D4EA7DE7}" name="Rx #" dataDxfId="3"/>
    <tableColumn id="5" xr3:uid="{01B1BB72-63B2-2648-92BD-5619E5B4C0AC}" name="Quantity (-)" dataDxfId="2"/>
    <tableColumn id="6" xr3:uid="{E940DD4D-1792-774F-8612-E34F66CF75B0}" name="Current Inventory" dataDxfId="1">
      <calculatedColumnFormula>IF(AND(ISBLANK(C9), ISBLANK(E9)), "", F8+C9-E9)</calculatedColumnFormula>
    </tableColumn>
    <tableColumn id="7" xr3:uid="{E021268C-1960-8B49-A28F-706ED1CA6FEC}" name="Initials + Any Comments" dataDxfId="0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A1:I69"/>
  <sheetViews>
    <sheetView tabSelected="1" workbookViewId="0"/>
  </sheetViews>
  <sheetFormatPr baseColWidth="10" defaultRowHeight="16" x14ac:dyDescent="0.2"/>
  <cols>
    <col min="1" max="1" width="12.1640625" bestFit="1" customWidth="1"/>
    <col min="2" max="2" width="10.83203125" customWidth="1"/>
  </cols>
  <sheetData>
    <row r="1" spans="2:9" x14ac:dyDescent="0.2">
      <c r="B1" s="25" t="s">
        <v>21</v>
      </c>
      <c r="C1" s="25"/>
      <c r="D1" s="25"/>
      <c r="E1" s="25"/>
      <c r="F1" s="25"/>
      <c r="G1" s="25"/>
      <c r="H1" s="25"/>
      <c r="I1" t="s">
        <v>25</v>
      </c>
    </row>
    <row r="2" spans="2:9" x14ac:dyDescent="0.2">
      <c r="B2" s="25" t="s">
        <v>22</v>
      </c>
      <c r="C2" s="25"/>
      <c r="D2" s="25"/>
      <c r="E2" s="25"/>
      <c r="F2" s="25"/>
      <c r="G2" s="25"/>
      <c r="H2" s="25"/>
      <c r="I2" s="25"/>
    </row>
    <row r="69" spans="1:1" x14ac:dyDescent="0.2">
      <c r="A69" t="s">
        <v>26</v>
      </c>
    </row>
  </sheetData>
  <mergeCells count="2">
    <mergeCell ref="B1:H1"/>
    <mergeCell ref="B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13"/>
  <sheetViews>
    <sheetView zoomScaleNormal="100" workbookViewId="0">
      <selection activeCell="F9" sqref="F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0" t="s">
        <v>0</v>
      </c>
      <c r="C1" s="30"/>
      <c r="D1" s="30"/>
      <c r="E1" s="30"/>
      <c r="F1" s="30"/>
      <c r="G1" s="8" t="s">
        <v>25</v>
      </c>
    </row>
    <row r="2" spans="1:7" ht="24" customHeight="1" thickTop="1" x14ac:dyDescent="0.55000000000000004">
      <c r="A2" s="31"/>
      <c r="B2" s="31"/>
      <c r="C2" s="31"/>
      <c r="D2" s="31"/>
      <c r="E2" s="31"/>
      <c r="F2" s="31"/>
      <c r="G2" s="9"/>
    </row>
    <row r="3" spans="1:7" s="4" customFormat="1" ht="24" customHeight="1" x14ac:dyDescent="0.2">
      <c r="A3" s="23" t="s">
        <v>24</v>
      </c>
      <c r="B3" s="32"/>
      <c r="C3" s="32"/>
      <c r="D3" s="32"/>
      <c r="E3" s="32"/>
      <c r="F3"/>
      <c r="G3" s="10"/>
    </row>
    <row r="4" spans="1:7" s="4" customFormat="1" ht="24" customHeight="1" x14ac:dyDescent="0.2">
      <c r="A4" s="23" t="s">
        <v>1</v>
      </c>
      <c r="B4" s="32"/>
      <c r="C4" s="32"/>
      <c r="D4" s="32"/>
      <c r="E4" s="32"/>
      <c r="F4"/>
      <c r="G4" s="10"/>
    </row>
    <row r="5" spans="1:7" s="4" customFormat="1" ht="24" customHeight="1" x14ac:dyDescent="0.2">
      <c r="A5" s="23" t="s">
        <v>8</v>
      </c>
      <c r="B5" s="32"/>
      <c r="C5" s="32"/>
      <c r="D5" s="32"/>
      <c r="E5" s="32"/>
      <c r="F5"/>
      <c r="G5" s="10"/>
    </row>
    <row r="6" spans="1:7" ht="24" customHeight="1" x14ac:dyDescent="0.55000000000000004">
      <c r="A6" s="27"/>
      <c r="B6" s="26" t="s">
        <v>9</v>
      </c>
      <c r="C6" s="26"/>
      <c r="D6" s="26" t="s">
        <v>10</v>
      </c>
      <c r="E6" s="26"/>
      <c r="F6" s="29" t="s">
        <v>13</v>
      </c>
      <c r="G6" s="9"/>
    </row>
    <row r="7" spans="1:7" ht="24" customHeight="1" x14ac:dyDescent="0.55000000000000004">
      <c r="A7" s="28"/>
      <c r="B7" s="26"/>
      <c r="C7" s="26"/>
      <c r="D7" s="26"/>
      <c r="E7" s="26"/>
      <c r="F7" s="29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/>
      <c r="C9" s="13"/>
      <c r="D9" s="6" t="s">
        <v>11</v>
      </c>
      <c r="F9" s="19"/>
      <c r="G9" s="21"/>
    </row>
    <row r="10" spans="1:7" ht="24" customHeight="1" x14ac:dyDescent="0.3">
      <c r="A10" s="20"/>
      <c r="B10" s="5"/>
      <c r="C10" s="5"/>
      <c r="D10" s="5"/>
      <c r="E10" s="5"/>
      <c r="F10" s="5" t="str">
        <f t="shared" ref="F10" si="0">IF(AND(ISBLANK(C10), ISBLANK(E10)), "", F9+C10-E10)</f>
        <v/>
      </c>
      <c r="G10" s="21"/>
    </row>
    <row r="11" spans="1:7" ht="24" customHeight="1" thickBot="1" x14ac:dyDescent="0.35"/>
    <row r="12" spans="1:7" ht="24" customHeight="1" thickTop="1" thickBot="1" x14ac:dyDescent="0.35">
      <c r="G12" s="15" t="str">
        <f>"Home 🏠" &amp; "(Double-click)"</f>
        <v>Home 🏠(Double-click)</v>
      </c>
    </row>
    <row r="13" spans="1:7" ht="24" customHeight="1" thickTop="1" x14ac:dyDescent="0.3"/>
  </sheetData>
  <mergeCells count="9">
    <mergeCell ref="B6:C7"/>
    <mergeCell ref="D6:E7"/>
    <mergeCell ref="A6:A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EC1-6A63-E44F-A236-34EB3004DE7C}">
  <sheetPr codeName="Sheet4"/>
  <dimension ref="A1:G20"/>
  <sheetViews>
    <sheetView zoomScaleNormal="100" workbookViewId="0">
      <selection activeCell="D21" sqref="D21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0" t="s">
        <v>0</v>
      </c>
      <c r="C1" s="30"/>
      <c r="D1" s="30"/>
      <c r="E1" s="30"/>
      <c r="F1" s="30"/>
      <c r="G1" s="8" t="s">
        <v>25</v>
      </c>
    </row>
    <row r="2" spans="1:7" ht="24" customHeight="1" thickTop="1" x14ac:dyDescent="0.55000000000000004">
      <c r="A2" s="31"/>
      <c r="B2" s="31"/>
      <c r="C2" s="31"/>
      <c r="D2" s="31"/>
      <c r="E2" s="31"/>
      <c r="F2" s="31"/>
      <c r="G2" s="9"/>
    </row>
    <row r="3" spans="1:7" s="4" customFormat="1" ht="24" customHeight="1" x14ac:dyDescent="0.2">
      <c r="A3" s="23" t="s">
        <v>24</v>
      </c>
      <c r="B3" s="33" t="s">
        <v>16</v>
      </c>
      <c r="C3" s="33"/>
      <c r="D3" s="33"/>
      <c r="E3" s="33"/>
      <c r="F3" s="16"/>
      <c r="G3" s="10"/>
    </row>
    <row r="4" spans="1:7" s="4" customFormat="1" ht="24" customHeight="1" x14ac:dyDescent="0.2">
      <c r="A4" s="23" t="s">
        <v>1</v>
      </c>
      <c r="B4" s="33" t="s">
        <v>15</v>
      </c>
      <c r="C4" s="33"/>
      <c r="D4" s="33"/>
      <c r="E4" s="33"/>
      <c r="F4" s="16"/>
      <c r="G4" s="10"/>
    </row>
    <row r="5" spans="1:7" s="4" customFormat="1" ht="24" customHeight="1" x14ac:dyDescent="0.2">
      <c r="A5" s="23" t="s">
        <v>8</v>
      </c>
      <c r="B5" s="33" t="s">
        <v>14</v>
      </c>
      <c r="C5" s="33"/>
      <c r="D5" s="33"/>
      <c r="E5" s="33"/>
      <c r="F5" s="16"/>
      <c r="G5" s="10"/>
    </row>
    <row r="6" spans="1:7" ht="24" customHeight="1" x14ac:dyDescent="0.55000000000000004">
      <c r="A6" s="27"/>
      <c r="B6" s="26" t="s">
        <v>9</v>
      </c>
      <c r="C6" s="26"/>
      <c r="D6" s="26" t="s">
        <v>10</v>
      </c>
      <c r="E6" s="26"/>
      <c r="F6" s="29" t="s">
        <v>13</v>
      </c>
      <c r="G6" s="9"/>
    </row>
    <row r="7" spans="1:7" ht="24" customHeight="1" x14ac:dyDescent="0.55000000000000004">
      <c r="A7" s="28"/>
      <c r="B7" s="26"/>
      <c r="C7" s="26"/>
      <c r="D7" s="26"/>
      <c r="E7" s="26"/>
      <c r="F7" s="29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>
        <v>45368.916516203702</v>
      </c>
      <c r="C9" s="13"/>
      <c r="D9" s="6" t="s">
        <v>11</v>
      </c>
      <c r="F9" s="17">
        <v>50</v>
      </c>
      <c r="G9" s="21"/>
    </row>
    <row r="10" spans="1:7" ht="24" customHeight="1" x14ac:dyDescent="0.3">
      <c r="A10" s="20">
        <v>45368.916527777779</v>
      </c>
      <c r="B10" s="5" t="s">
        <v>19</v>
      </c>
      <c r="C10" s="5">
        <v>200</v>
      </c>
      <c r="D10" s="5"/>
      <c r="E10" s="5"/>
      <c r="F10" s="14">
        <f t="shared" ref="F10:F19" si="0">IF(AND(ISBLANK(C10), ISBLANK(E10)), "", F9+C10-E10)</f>
        <v>250</v>
      </c>
      <c r="G10" s="21" t="s">
        <v>12</v>
      </c>
    </row>
    <row r="11" spans="1:7" ht="24" customHeight="1" x14ac:dyDescent="0.3">
      <c r="A11" s="20">
        <v>45368.916539351849</v>
      </c>
      <c r="B11" s="18"/>
      <c r="C11" s="18"/>
      <c r="D11" s="18">
        <v>2225640</v>
      </c>
      <c r="E11" s="18">
        <v>30</v>
      </c>
      <c r="F11" s="14">
        <f t="shared" si="0"/>
        <v>220</v>
      </c>
      <c r="G11" s="24" t="s">
        <v>12</v>
      </c>
    </row>
    <row r="12" spans="1:7" ht="24" customHeight="1" x14ac:dyDescent="0.3">
      <c r="A12" s="20">
        <v>45368.916539351849</v>
      </c>
      <c r="B12" s="18"/>
      <c r="C12" s="18"/>
      <c r="D12" s="18">
        <v>2225668</v>
      </c>
      <c r="E12" s="18">
        <v>90</v>
      </c>
      <c r="F12" s="14">
        <f t="shared" si="0"/>
        <v>130</v>
      </c>
      <c r="G12" s="24" t="s">
        <v>12</v>
      </c>
    </row>
    <row r="13" spans="1:7" ht="24" customHeight="1" x14ac:dyDescent="0.3">
      <c r="A13" s="20">
        <v>45368.916550925926</v>
      </c>
      <c r="B13" s="18"/>
      <c r="C13" s="18"/>
      <c r="D13" s="18">
        <v>2225673</v>
      </c>
      <c r="E13" s="18">
        <v>30</v>
      </c>
      <c r="F13" s="14">
        <f t="shared" si="0"/>
        <v>100</v>
      </c>
      <c r="G13" s="24" t="s">
        <v>17</v>
      </c>
    </row>
    <row r="14" spans="1:7" ht="24" customHeight="1" x14ac:dyDescent="0.3">
      <c r="A14" s="20">
        <v>45368.916550925926</v>
      </c>
      <c r="B14" s="18" t="s">
        <v>18</v>
      </c>
      <c r="C14" s="18">
        <v>200</v>
      </c>
      <c r="D14" s="18"/>
      <c r="E14" s="18"/>
      <c r="F14" s="14">
        <f t="shared" si="0"/>
        <v>300</v>
      </c>
      <c r="G14" s="24" t="s">
        <v>12</v>
      </c>
    </row>
    <row r="15" spans="1:7" ht="24" customHeight="1" x14ac:dyDescent="0.3">
      <c r="A15" s="20">
        <v>45368.916562500002</v>
      </c>
      <c r="B15" s="18"/>
      <c r="C15" s="18"/>
      <c r="D15" s="18"/>
      <c r="E15" s="18">
        <v>2</v>
      </c>
      <c r="F15" s="14">
        <f t="shared" si="0"/>
        <v>298</v>
      </c>
      <c r="G15" s="24" t="s">
        <v>23</v>
      </c>
    </row>
    <row r="16" spans="1:7" ht="24" customHeight="1" x14ac:dyDescent="0.3">
      <c r="A16" s="20">
        <v>45368.916574074072</v>
      </c>
      <c r="B16" s="18"/>
      <c r="C16" s="18"/>
      <c r="D16" s="18">
        <v>2225705</v>
      </c>
      <c r="E16" s="18">
        <v>30</v>
      </c>
      <c r="F16" s="14">
        <f t="shared" si="0"/>
        <v>268</v>
      </c>
      <c r="G16" s="24" t="s">
        <v>12</v>
      </c>
    </row>
    <row r="17" spans="1:7" ht="24" customHeight="1" x14ac:dyDescent="0.3">
      <c r="A17" s="20">
        <v>45368.916574074072</v>
      </c>
      <c r="B17" s="18"/>
      <c r="C17" s="18"/>
      <c r="D17" s="18">
        <v>2225766</v>
      </c>
      <c r="E17" s="18">
        <v>60</v>
      </c>
      <c r="F17" s="14">
        <f t="shared" si="0"/>
        <v>208</v>
      </c>
      <c r="G17" s="24" t="s">
        <v>12</v>
      </c>
    </row>
    <row r="18" spans="1:7" ht="24" customHeight="1" x14ac:dyDescent="0.3">
      <c r="A18" s="20">
        <v>45368.916585648149</v>
      </c>
      <c r="B18" s="18"/>
      <c r="C18" s="18"/>
      <c r="D18" s="18">
        <v>2225777</v>
      </c>
      <c r="E18" s="18">
        <v>60</v>
      </c>
      <c r="F18" s="14">
        <f t="shared" si="0"/>
        <v>148</v>
      </c>
      <c r="G18" s="24" t="s">
        <v>12</v>
      </c>
    </row>
    <row r="19" spans="1:7" ht="24" customHeight="1" x14ac:dyDescent="0.3">
      <c r="A19" s="20">
        <v>45368.916585648149</v>
      </c>
      <c r="B19" s="18"/>
      <c r="C19" s="18"/>
      <c r="D19" s="18">
        <v>2225788</v>
      </c>
      <c r="E19" s="18">
        <v>30</v>
      </c>
      <c r="F19" s="14">
        <f t="shared" si="0"/>
        <v>118</v>
      </c>
      <c r="G19" s="24" t="s">
        <v>12</v>
      </c>
    </row>
    <row r="20" spans="1:7" ht="24" customHeight="1" x14ac:dyDescent="0.3">
      <c r="A20" s="22"/>
      <c r="B20" s="18"/>
      <c r="C20" s="18"/>
      <c r="D20" s="18">
        <v>2225888</v>
      </c>
      <c r="E20" s="18">
        <v>30</v>
      </c>
      <c r="F20" s="34">
        <f>IF(AND(ISBLANK(C20), ISBLANK(E20)), "", F19+C20-E20)</f>
        <v>88</v>
      </c>
      <c r="G20" s="24"/>
    </row>
  </sheetData>
  <mergeCells count="9">
    <mergeCell ref="A6:A7"/>
    <mergeCell ref="B6:C7"/>
    <mergeCell ref="D6:E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Home</vt:lpstr>
      <vt:lpstr>Template</vt:lpstr>
      <vt:lpstr>Example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2024-04-22T05:10:27Z</dcterms:modified>
</cp:coreProperties>
</file>